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6495bc1165860ba0/Dokumente MR/Fahrzeuge/Sprinter 4x4/Ausbau/Video Sprinter 4x4 Selbstausbau/Teil 4 Räder Reifen Gewicht/"/>
    </mc:Choice>
  </mc:AlternateContent>
  <xr:revisionPtr revIDLastSave="220" documentId="8_{2A55DA9E-D3EA-467E-AF9E-4B2527634AF1}" xr6:coauthVersionLast="47" xr6:coauthVersionMax="47" xr10:uidLastSave="{6A79286C-335D-4226-9495-B82A04FD841D}"/>
  <bookViews>
    <workbookView xWindow="7170" yWindow="940" windowWidth="25340" windowHeight="16810" xr2:uid="{F4209DEE-EE8F-4159-B950-D3A3DE32ABF2}"/>
  </bookViews>
  <sheets>
    <sheet name="Tabelle1" sheetId="1" r:id="rId1"/>
  </sheets>
  <calcPr fullCalcOnLoad="1"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<sst xmlns="http://schemas.openxmlformats.org/spreadsheetml/2006/main" count="47" uniqueCount="35">
  <si>
    <t>Vorderachse</t>
  </si>
  <si>
    <t>Gesamtgewicht</t>
  </si>
  <si>
    <t>Hinterachse</t>
  </si>
  <si>
    <t>Batterie</t>
  </si>
  <si>
    <t>Fahrzeuggewicht VA</t>
  </si>
  <si>
    <t>Fahrzeuggewicht HA</t>
  </si>
  <si>
    <t>Wechselrichter</t>
  </si>
  <si>
    <t>Elektrik</t>
  </si>
  <si>
    <t>Ersatzrad</t>
  </si>
  <si>
    <t>Heckträger</t>
  </si>
  <si>
    <t>Bike</t>
  </si>
  <si>
    <t>Seilwinde</t>
  </si>
  <si>
    <t>Anbauteile</t>
  </si>
  <si>
    <t>Kühlschrank</t>
  </si>
  <si>
    <t>Möbel</t>
  </si>
  <si>
    <t>Dämmung, Fenster</t>
  </si>
  <si>
    <t>Heizung</t>
  </si>
  <si>
    <t>Abwasser</t>
  </si>
  <si>
    <t>Wasser</t>
  </si>
  <si>
    <t>Toilette</t>
  </si>
  <si>
    <t>Spüle, Hähne</t>
  </si>
  <si>
    <t>Fahrer</t>
  </si>
  <si>
    <t>Beifahrer</t>
  </si>
  <si>
    <t>Lebensmittel</t>
  </si>
  <si>
    <t>Kleidung</t>
  </si>
  <si>
    <t>Ausstattung</t>
  </si>
  <si>
    <t>Zuladung Faltboot</t>
  </si>
  <si>
    <t>Dieseltank</t>
  </si>
  <si>
    <t>Zubehör, Werkzeug</t>
  </si>
  <si>
    <t>Soundanlage</t>
  </si>
  <si>
    <t>max</t>
  </si>
  <si>
    <t>Rest</t>
  </si>
  <si>
    <t>grün</t>
  </si>
  <si>
    <t>gelb</t>
  </si>
  <si>
    <t>rot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</si>
</sst>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 kg&quot;"/>
  </numFmts>
  <fonts count="11" x14ac:knownFonts="1">
    <font>
      <sz val="11"/>
      <color theme="1"/>
      <name val="Aptos Narrow"/>
      <family val="2"/>
      <scheme val="minor"/>
    </font>
    <font>
      <sz val="28"/>
      <color theme="1"/>
      <name val="Arial"/>
      <family val="2"/>
    </font>
    <font>
      <sz val="11"/>
      <color theme="1"/>
      <name val="Arial"/>
      <family val="2"/>
    </font>
    <font>
      <sz val="28"/>
      <color theme="0"/>
      <name val="Arial"/>
      <family val="2"/>
    </font>
    <font>
      <sz val="14"/>
      <color theme="1"/>
      <name val="Arial"/>
      <family val="2"/>
    </font>
    <font>
      <sz val="11"/>
      <color theme="0"/>
      <name val="Aptos Narrow"/>
      <family val="2"/>
      <scheme val="minor"/>
    </font>
    <font>
      <sz val="11"/>
      <color theme="0"/>
      <name val="Arial"/>
      <family val="2"/>
    </font>
    <font>
      <sz val="14"/>
      <color theme="0"/>
      <name val="Arial"/>
      <family val="2"/>
    </font>
    <font>
      <sz val="24"/>
      <color theme="1"/>
      <name val="Arial"/>
      <family val="2"/>
    </font>
    <font>
      <sz val="24"/>
      <color theme="0"/>
      <name val="Arial"/>
      <family val="2"/>
    </font>
    <font>
      <sz val="24"/>
      <color theme="0"/>
      <name val="Aptos Narrow"/>
      <family val="2"/>
      <scheme val="minor"/>
    </font>
  </fonts>
  <fills count="4">
    <fill>
      <patternFill patternType="none"/>
    </fill>
    <fill>
      <patternFill patternType="gray125"/>
    </fill>
    <fill>
      <patternFill patternType="solid">
        <fgColor theme="1" tint="0.499984740745262"/>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33">
    <xf numFmtId="0" fontId="0" fillId="0" borderId="0" xfId="0"/>
    <xf numFmtId="0" fontId="1" fillId="0" borderId="0" xfId="0" applyFont="1"/>
    <xf numFmtId="164" fontId="1" fillId="0" borderId="0" xfId="0" applyNumberFormat="1" applyFont="1"/>
    <xf numFmtId="0" fontId="2" fillId="0" borderId="0" xfId="0" applyFont="1"/>
    <xf numFmtId="164" fontId="2" fillId="0" borderId="0" xfId="0" applyNumberFormat="1" applyFont="1"/>
    <xf numFmtId="2" fontId="2" fillId="0" borderId="0" xfId="0" applyNumberFormat="1" applyFont="1"/>
    <xf numFmtId="0" fontId="2" fillId="0" borderId="0" xfId="0" applyFont="1" applyAlignment="1">
      <alignment horizontal="center"/>
    </xf>
    <xf numFmtId="164" fontId="3" fillId="2" borderId="0" xfId="0" applyNumberFormat="1" applyFont="1" applyFill="1" applyAlignment="1">
      <alignment horizontal="center"/>
    </xf>
    <xf numFmtId="0" fontId="4" fillId="0" borderId="0" xfId="0" applyFont="1"/>
    <xf numFmtId="164" fontId="4" fillId="0" borderId="0" xfId="0" applyNumberFormat="1" applyFont="1"/>
    <xf numFmtId="0" fontId="4" fillId="0" borderId="0" xfId="0" applyFont="1" applyAlignment="1">
      <alignment horizontal="left" vertical="top"/>
    </xf>
    <xf numFmtId="0" fontId="2" fillId="0" borderId="0" xfId="0" applyFont="1" applyAlignment="1">
      <alignment horizontal="left" vertical="top"/>
    </xf>
    <xf numFmtId="164" fontId="4" fillId="0" borderId="0" xfId="0" applyNumberFormat="1" applyFont="1" applyAlignment="1">
      <alignment horizontal="right" vertical="top"/>
    </xf>
    <xf numFmtId="164" fontId="2" fillId="0" borderId="0" xfId="0" applyNumberFormat="1" applyFont="1" applyAlignment="1">
      <alignment horizontal="right"/>
    </xf>
    <xf numFmtId="164" fontId="1" fillId="0" borderId="0" xfId="0" applyNumberFormat="1" applyFont="1" applyAlignment="1">
      <alignment horizontal="right"/>
    </xf>
    <xf numFmtId="164" fontId="6" fillId="0" borderId="0" xfId="0" applyNumberFormat="1" applyFont="1"/>
    <xf numFmtId="0" fontId="6" fillId="0" borderId="0" xfId="0" applyFont="1"/>
    <xf numFmtId="164" fontId="5" fillId="0" borderId="0" xfId="0" applyNumberFormat="1" applyFont="1"/>
    <xf numFmtId="0" fontId="5" fillId="0" borderId="0" xfId="0" applyFont="1"/>
    <xf numFmtId="2" fontId="5" fillId="0" borderId="0" xfId="0" applyNumberFormat="1" applyFont="1"/>
    <xf numFmtId="0" fontId="7" fillId="2" borderId="0" xfId="0" applyFont="1" applyFill="1" applyAlignment="1">
      <alignment horizontal="center" vertical="center"/>
    </xf>
    <xf numFmtId="0" fontId="8" fillId="0" borderId="0" xfId="0" applyFont="1"/>
    <xf numFmtId="164" fontId="8" fillId="0" borderId="0" xfId="0" applyNumberFormat="1" applyFont="1"/>
    <xf numFmtId="164" fontId="9" fillId="2" borderId="0" xfId="0" applyNumberFormat="1" applyFont="1" applyFill="1" applyAlignment="1">
      <alignment horizontal="center"/>
    </xf>
    <xf numFmtId="164" fontId="8" fillId="0" borderId="0" xfId="0" applyNumberFormat="1" applyFont="1" applyAlignment="1">
      <alignment horizontal="right"/>
    </xf>
    <xf numFmtId="164" fontId="9" fillId="2" borderId="0" xfId="0" applyNumberFormat="1" applyFont="1" applyFill="1"/>
    <xf numFmtId="164" fontId="10" fillId="0" borderId="0" xfId="0" applyNumberFormat="1" applyFont="1"/>
    <xf numFmtId="0" fontId="10" fillId="0" borderId="0" xfId="0" applyFont="1"/>
    <xf numFmtId="0" fontId="2" fillId="3" borderId="0" xfId="0" applyFont="1" applyFill="1" applyProtection="1">
      <protection locked="0"/>
    </xf>
    <xf numFmtId="164" fontId="4" fillId="3" borderId="0" xfId="0" applyNumberFormat="1" applyFont="1" applyFill="1" applyProtection="1">
      <protection locked="0"/>
    </xf>
    <xf numFmtId="0" fontId="4" fillId="3" borderId="0" xfId="0" applyFont="1" applyFill="1" applyAlignment="1" applyProtection="1">
      <alignment horizontal="left" vertical="top"/>
      <protection locked="0"/>
    </xf>
    <xf numFmtId="164" fontId="4" fillId="3" borderId="0" xfId="0" applyNumberFormat="1" applyFont="1" applyFill="1" applyAlignment="1" applyProtection="1">
      <alignment horizontal="right" vertical="top"/>
      <protection locked="0"/>
    </xf>
    <xf numFmtId="0" fontId="4" fillId="3" borderId="0" xfId="0" applyFont="1" applyFill="1" applyProtection="1">
      <protection locked="0"/>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7359942076206E-2"/>
          <c:y val="0.1201216184610587"/>
          <c:w val="0.75019334880123745"/>
          <c:h val="0.89814814814814814"/>
        </c:manualLayout>
      </c:layout>
      <c:doughnutChart>
        <c:varyColors val="1"/>
        <c:ser>
          <c:idx val="0"/>
          <c:order val="0"/>
          <c:dPt>
            <c:idx val="0"/>
            <c:bubble3D val="0"/>
            <c:spPr>
              <a:solidFill>
                <a:schemeClr val="accent6"/>
              </a:solidFill>
              <a:ln w="19050">
                <a:solidFill>
                  <a:schemeClr val="lt1"/>
                </a:solidFill>
              </a:ln>
              <a:effectLst/>
            </c:spPr>
            <c:extLst>
              <c:ext xmlns:c16="http://schemas.microsoft.com/office/drawing/2014/chart" uri="{C3380CC4-5D6E-409C-BE32-E72D297353CC}">
                <c16:uniqueId val="{00000001-287C-4BF3-926E-3D24BDA9E76D}"/>
              </c:ext>
            </c:extLst>
          </c:dPt>
          <c:dPt>
            <c:idx val="1"/>
            <c:bubble3D val="0"/>
            <c:explosion val="3"/>
            <c:spPr>
              <a:solidFill>
                <a:srgbClr val="FFFF00"/>
              </a:solidFill>
              <a:ln w="19050">
                <a:solidFill>
                  <a:schemeClr val="lt1"/>
                </a:solidFill>
              </a:ln>
              <a:effectLst/>
            </c:spPr>
            <c:extLst>
              <c:ext xmlns:c16="http://schemas.microsoft.com/office/drawing/2014/chart" uri="{C3380CC4-5D6E-409C-BE32-E72D297353CC}">
                <c16:uniqueId val="{00000002-287C-4BF3-926E-3D24BDA9E76D}"/>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3-287C-4BF3-926E-3D24BDA9E76D}"/>
              </c:ext>
            </c:extLst>
          </c:dPt>
          <c:val>
            <c:numRef>
              <c:f>Tabelle1!$K$10:$K$12</c:f>
              <c:numCache>
                <c:formatCode>0.00</c:formatCode>
                <c:ptCount val="3"/>
                <c:pt idx="0">
                  <c:v>1</c:v>
                </c:pt>
                <c:pt idx="1">
                  <c:v>0.62572727272727269</c:v>
                </c:pt>
                <c:pt idx="2">
                  <c:v>0.12572727272727269</c:v>
                </c:pt>
              </c:numCache>
            </c:numRef>
          </c:val>
          <c:extLst>
            <c:ext xmlns:c16="http://schemas.microsoft.com/office/drawing/2014/chart" uri="{C3380CC4-5D6E-409C-BE32-E72D297353CC}">
              <c16:uniqueId val="{00000000-287C-4BF3-926E-3D24BDA9E76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531001</xdr:colOff>
      <xdr:row>9</xdr:row>
      <xdr:rowOff>31468</xdr:rowOff>
    </xdr:from>
    <xdr:to>
      <xdr:col>6</xdr:col>
      <xdr:colOff>593232</xdr:colOff>
      <xdr:row>20</xdr:row>
      <xdr:rowOff>25964</xdr:rowOff>
    </xdr:to>
    <xdr:graphicFrame macro="">
      <xdr:nvGraphicFramePr>
        <xdr:cNvPr id="5" name="Diagramm 4">
          <a:extLst>
            <a:ext uri="{FF2B5EF4-FFF2-40B4-BE49-F238E27FC236}">
              <a16:creationId xmlns:a16="http://schemas.microsoft.com/office/drawing/2014/main" id="{AA021036-C894-3BD1-3B5C-A825159CF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B3920-4332-42A5-B5FE-3B7C8E2B992D}">
  <dimension ref="B1:L70"/>
  <sheetViews>
    <sheetView showGridLines="0" tabSelected="1" zoomScale="90" zoomScaleNormal="90" workbookViewId="0">
      <selection activeCell="H30" sqref="H30"/>
    </sheetView>
  </sheetViews>
  <sheetFormatPr baseColWidth="10" defaultColWidth="11.54296875" defaultRowHeight="17.5" x14ac:dyDescent="0.35"/>
  <cols>
    <col min="1" max="1" width="14.81640625" style="3" customWidth="1"/>
    <col min="2" max="2" width="25.453125" style="8" customWidth="1"/>
    <col min="3" max="3" width="9" style="9" customWidth="1"/>
    <col min="4" max="4" width="17.08984375" style="3" customWidth="1"/>
    <col min="5" max="5" width="9.90625" style="3" customWidth="1"/>
    <col min="6" max="6" width="26.90625" style="6" customWidth="1"/>
    <col min="7" max="7" width="8.26953125" style="13" customWidth="1"/>
    <col min="8" max="8" width="25.36328125" style="3" customWidth="1"/>
    <col min="9" max="9" width="11.6328125" style="9" customWidth="1"/>
    <col min="10" max="10" width="25.36328125" style="8" customWidth="1"/>
    <col min="11" max="11" width="16.1796875" style="3" bestFit="1" customWidth="1"/>
    <col min="12" max="16384" width="11.54296875" style="3"/>
  </cols>
  <sheetData>
    <row r="1" spans="2:12" x14ac:dyDescent="0.35">
      <c r="F1" s="10"/>
      <c r="G1" s="12"/>
      <c r="H1" s="28"/>
      <c r="I1" s="29"/>
      <c r="J1" s="9"/>
    </row>
    <row r="2" spans="2:12" x14ac:dyDescent="0.35">
      <c r="F2" s="10"/>
      <c r="G2" s="12"/>
      <c r="H2" s="30" t="inlineStr">
        <is>
          <t xml:space="preserve">Kabinentrennwand, Verdunkelung</t>
        </is>
      </c>
      <c r="I2" s="31">
        <v>8</v>
      </c>
    </row>
    <row r="3" spans="2:12" x14ac:dyDescent="0.35">
      <c r="F3" s="10"/>
      <c r="G3" s="12"/>
      <c r="H3" s="30" t="inlineStr">
        <is>
          <t xml:space="preserve">Fahrerhaus: Halter, USB-C, Kabel</t>
        </is>
      </c>
      <c r="I3" s="31">
        <v>5</v>
      </c>
    </row>
    <row r="4" spans="2:12" x14ac:dyDescent="0.35">
      <c r="F4" s="10"/>
      <c r="G4" s="12"/>
      <c r="H4" s="30" t="inlineStr">
        <is>
          <t xml:space="preserve">Fahrzeuggewicht VA (leer)</t>
        </is>
      </c>
      <c r="I4" s="31">
        <v>1290</v>
      </c>
    </row>
    <row r="5" spans="2:12" x14ac:dyDescent="0.35">
      <c r="H5" s="28"/>
      <c r="I5" s="29"/>
      <c r="K5" s="15">
        <f>F16</f>
        <v>3053.47</v>
      </c>
      <c r="L5" s="16"/>
    </row>
    <row r="6" spans="2:12" x14ac:dyDescent="0.35">
      <c r="F6" s="20" t="s">
        <v>0</v>
      </c>
      <c r="H6" s="28"/>
      <c r="I6" s="29"/>
      <c r="K6" s="17">
        <f>K5-2150</f>
        <v>903.47</v>
      </c>
      <c r="L6" s="16"/>
    </row>
    <row r="7" spans="2:12" s="21" customFormat="1" ht="31" x14ac:dyDescent="0.7">
      <c r="C7" s="22"/>
      <c r="D7" s="25">
        <f>(SUM(C8:C15)*0.6)+SUM(I1:I6)/2</f>
        <v>753.5</v>
      </c>
      <c r="F7" s="23">
        <f>SUM(D7,H7)</f>
        <v>1519</v>
      </c>
      <c r="G7" s="24"/>
      <c r="H7" s="25">
        <f>(SUM(I8:I15)*0.6)+SUM(I1:I6)/2</f>
        <v>765.5</v>
      </c>
      <c r="I7" s="22"/>
      <c r="K7" s="26">
        <v>1350</v>
      </c>
      <c r="L7" s="27" t="s">
        <v>30</v>
      </c>
    </row>
    <row r="8" spans="2:12" ht="16.5" customHeight="1" x14ac:dyDescent="0.35">
      <c r="B8" s="32" t="inlineStr">
        <is>
          <t xml:space="preserve">Sitzbank mit Trelino und Safe HF3</t>
        </is>
      </c>
      <c r="C8" s="29">
        <v>46</v>
      </c>
      <c r="D8" s="4"/>
      <c r="I8" s="29">
        <v>45</v>
      </c>
      <c r="J8" s="32" t="inlineStr">
        <is>
          <t xml:space="preserve">Küchenblock CAMPANY</t>
        </is>
      </c>
      <c r="K8" s="17">
        <f>K7-K6</f>
        <v>446.53</v>
      </c>
      <c r="L8" s="18" t="s">
        <v>31</v>
      </c>
    </row>
    <row r="9" spans="2:12" ht="16.5" customHeight="1" x14ac:dyDescent="0.35">
      <c r="B9" s="32" t="inlineStr">
        <is>
          <t xml:space="preserve">Sitz- und Lehnenpolster</t>
        </is>
      </c>
      <c r="C9" s="29">
        <v>4</v>
      </c>
      <c r="D9" s="4"/>
      <c r="I9" s="29">
        <v>41</v>
      </c>
      <c r="J9" s="32" t="inlineStr">
        <is>
          <t xml:space="preserve">Wasser gefüllt: 3 × 12 l + Pumpe</t>
        </is>
      </c>
      <c r="K9" s="17"/>
      <c r="L9" s="18"/>
    </row>
    <row r="10" spans="2:12" ht="16.5" customHeight="1" x14ac:dyDescent="0.35">
      <c r="B10" s="32" t="inlineStr">
        <is>
          <t xml:space="preserve">Fußpodest inkl. Wertfach HF1</t>
        </is>
      </c>
      <c r="C10" s="29">
        <v>14</v>
      </c>
      <c r="D10" s="4"/>
      <c r="I10" s="29">
        <v>17</v>
      </c>
      <c r="J10" s="32" t="inlineStr">
        <is>
          <t xml:space="preserve">Elektrik vorn: Licht, Dosen, Kabel</t>
        </is>
      </c>
      <c r="K10" s="19">
        <f>MAX(MIN((K6/K7)*3,1),0)</f>
        <v>1</v>
      </c>
      <c r="L10" s="18" t="s">
        <v>32</v>
      </c>
    </row>
    <row r="11" spans="2:12" ht="16.5" customHeight="1" x14ac:dyDescent="0.35">
      <c r="B11" s="32" t="inlineStr">
        <is>
          <t xml:space="preserve">Tisch CAMPANY</t>
        </is>
      </c>
      <c r="C11" s="29">
        <v>10</v>
      </c>
      <c r="D11" s="4"/>
      <c r="I11" s="29">
        <v>12</v>
      </c>
      <c r="J11" s="32" t="inlineStr">
        <is>
          <t xml:space="preserve">Elektrische Trittstufe</t>
        </is>
      </c>
      <c r="K11" s="19">
        <f>MAX(MIN((K6/K7)*3-2.5,1),0)</f>
        <v>0</v>
      </c>
      <c r="L11" s="18" t="s">
        <v>33</v>
      </c>
    </row>
    <row r="12" spans="2:12" ht="16.5" customHeight="1" x14ac:dyDescent="0.35">
      <c r="B12" s="32" t="inlineStr">
        <is>
          <t xml:space="preserve">Elektrik vorn: Licht, Dosen, Kabel</t>
        </is>
      </c>
      <c r="C12" s="29">
        <v>17</v>
      </c>
      <c r="D12" s="4"/>
      <c r="I12" s="29"/>
      <c r="J12" s="32"/>
      <c r="K12" s="19">
        <f>MAX(MIN((K6/K7)*3-3,1),0)</f>
        <v>0</v>
      </c>
      <c r="L12" s="18" t="s">
        <v>34</v>
      </c>
    </row>
    <row r="13" spans="2:12" ht="16.5" customHeight="1" x14ac:dyDescent="0.35">
      <c r="B13" s="32" t="inlineStr">
        <is>
          <t xml:space="preserve">Heizluftführung 90 mm</t>
        </is>
      </c>
      <c r="C13" s="29">
        <v>4</v>
      </c>
      <c r="D13" s="5"/>
      <c r="I13" s="29"/>
      <c r="J13" s="32"/>
      <c r="K13" s="15"/>
      <c r="L13" s="16"/>
    </row>
    <row r="14" spans="2:12" ht="16.5" customHeight="1" x14ac:dyDescent="0.35">
      <c r="B14" s="32" t="inlineStr">
        <is>
          <t xml:space="preserve">Fahrer</t>
        </is>
      </c>
      <c r="C14" s="29">
        <v>75</v>
      </c>
      <c r="I14" s="29">
        <v>75</v>
      </c>
      <c r="J14" s="32" t="inlineStr">
        <is>
          <t xml:space="preserve">Beifahrer</t>
        </is>
      </c>
      <c r="K14" s="4"/>
    </row>
    <row r="15" spans="2:12" x14ac:dyDescent="0.35">
      <c r="B15" s="32"/>
      <c r="C15" s="29"/>
      <c r="F15" s="20" t="s">
        <v>1</v>
      </c>
      <c r="I15" s="29"/>
      <c r="J15" s="32"/>
    </row>
    <row r="16" spans="2:12" s="1" customFormat="1" ht="35" x14ac:dyDescent="0.7">
      <c r="B16" s="8"/>
      <c r="C16" s="9"/>
      <c r="D16" s="2"/>
      <c r="F16" s="7">
        <f>SUM(F7,F29)</f>
        <v>3053.47</v>
      </c>
      <c r="G16" s="14"/>
      <c r="H16" s="2"/>
      <c r="I16" s="9"/>
      <c r="J16" s="8"/>
    </row>
    <row r="17" spans="2:10" x14ac:dyDescent="0.35">
      <c r="B17" s="32" t="inlineStr">
        <is>
          <t xml:space="preserve">Bett, Anteil linke Seite</t>
        </is>
      </c>
      <c r="C17" s="29">
        <v>21</v>
      </c>
      <c r="I17" s="29">
        <v>21</v>
      </c>
      <c r="J17" s="32" t="inlineStr">
        <is>
          <t xml:space="preserve">Bett, Anteil rechte Seite</t>
        </is>
      </c>
    </row>
    <row r="18" spans="2:10" ht="16.5" customHeight="1" x14ac:dyDescent="0.35">
      <c r="B18" s="32" t="inlineStr">
        <is>
          <t xml:space="preserve">Matratze, Anteil linke Seite</t>
        </is>
      </c>
      <c r="C18" s="29">
        <v>9</v>
      </c>
      <c r="I18" s="29">
        <v>9</v>
      </c>
      <c r="J18" s="32" t="inlineStr">
        <is>
          <t xml:space="preserve">Matratze, Anteil rechte Seite</t>
        </is>
      </c>
    </row>
    <row r="19" spans="2:10" ht="16.5" customHeight="1" x14ac:dyDescent="0.35">
      <c r="B19" s="32" t="inlineStr">
        <is>
          <t xml:space="preserve">Aufbaubatterie Lithium NG 300 Ah</t>
        </is>
      </c>
      <c r="C19" s="29">
        <v>29</v>
      </c>
      <c r="I19" s="29">
        <v>35</v>
      </c>
      <c r="J19" s="32" t="inlineStr">
        <is>
          <t xml:space="preserve">Dämmung, Boden, Verkleidung</t>
        </is>
      </c>
    </row>
    <row r="20" spans="2:10" ht="16.5" customHeight="1" x14ac:dyDescent="0.35">
      <c r="B20" s="32" t="inlineStr">
        <is>
          <t xml:space="preserve">Wechselrichter, BMS, Verteilung</t>
        </is>
      </c>
      <c r="C20" s="29">
        <v>21</v>
      </c>
      <c r="I20" s="29">
        <v>27</v>
      </c>
      <c r="J20" s="32" t="inlineStr">
        <is>
          <t xml:space="preserve">Dachträger und Solar, Anteil</t>
        </is>
      </c>
    </row>
    <row r="21" spans="2:10" ht="16.5" customHeight="1" x14ac:dyDescent="0.35">
      <c r="B21" s="32" t="inlineStr">
        <is>
          <t xml:space="preserve">Technikplattform, Hochstromkabel</t>
        </is>
      </c>
      <c r="C21" s="29">
        <v>7</v>
      </c>
      <c r="I21" s="29">
        <v>18</v>
      </c>
      <c r="J21" s="32" t="inlineStr">
        <is>
          <t xml:space="preserve">Verkleidungs-Set, Laderaumprofile</t>
        </is>
      </c>
    </row>
    <row r="22" spans="2:10" ht="16.5" customHeight="1" x14ac:dyDescent="0.35">
      <c r="B22" s="32" t="inlineStr">
        <is>
          <t xml:space="preserve">Kühlschrankschrank inkl. Gerät</t>
        </is>
      </c>
      <c r="C22" s="29">
        <v>62</v>
      </c>
      <c r="I22" s="29">
        <v>40</v>
      </c>
      <c r="J22" s="32" t="inlineStr">
        <is>
          <t xml:space="preserve">Gepäck, Kleidung, Ausrüstung</t>
        </is>
      </c>
    </row>
    <row r="23" spans="2:10" ht="16.5" customHeight="1" x14ac:dyDescent="0.35">
      <c r="B23" s="32" t="inlineStr">
        <is>
          <t xml:space="preserve">Hängeschränke HS1–HS6</t>
        </is>
      </c>
      <c r="C23" s="29">
        <v>36</v>
      </c>
      <c r="I23" s="29">
        <v>20</v>
      </c>
      <c r="J23" s="32" t="inlineStr">
        <is>
          <t xml:space="preserve">Lebensmittel und Vorräte</t>
        </is>
      </c>
    </row>
    <row r="24" spans="2:10" ht="16.5" customHeight="1" x14ac:dyDescent="0.35">
      <c r="B24" s="32" t="inlineStr">
        <is>
          <t xml:space="preserve">Dämmung, Boden, Verkleidung</t>
        </is>
      </c>
      <c r="C24" s="29">
        <v>35</v>
      </c>
      <c r="I24" s="29">
        <v>20</v>
      </c>
      <c r="J24" s="32" t="inlineStr">
        <is>
          <t xml:space="preserve">Werkzeug, Ersatzteile, Zubehör</t>
        </is>
      </c>
    </row>
    <row r="25" spans="2:10" ht="16.5" customHeight="1" x14ac:dyDescent="0.35">
      <c r="B25" s="32" t="inlineStr">
        <is>
          <t xml:space="preserve">Dachträger und Solar, Anteil</t>
        </is>
      </c>
      <c r="C25" s="29">
        <v>27</v>
      </c>
      <c r="I25" s="29"/>
      <c r="J25" s="32"/>
    </row>
    <row r="26" spans="2:10" ht="16.5" customHeight="1" x14ac:dyDescent="0.35">
      <c r="B26" s="32" t="inlineStr">
        <is>
          <t xml:space="preserve">Verkleidungs-Set, Laderaumprofile</t>
        </is>
      </c>
      <c r="C26" s="29">
        <v>18</v>
      </c>
      <c r="I26" s="29"/>
      <c r="J26" s="32"/>
    </row>
    <row r="27" spans="2:10" ht="16.5" customHeight="1" x14ac:dyDescent="0.35">
      <c r="B27" s="32" t="inlineStr">
        <is>
          <t xml:space="preserve">Wertfach HF2, Kleinteile</t>
        </is>
      </c>
      <c r="C27" s="29">
        <v>2</v>
      </c>
      <c r="I27" s="29"/>
      <c r="J27" s="32"/>
    </row>
    <row r="28" spans="2:10" x14ac:dyDescent="0.35">
      <c r="B28" s="32" t="inlineStr">
        <is>
          <t xml:space="preserve">E-Roller in der Garage</t>
        </is>
      </c>
      <c r="C28" s="29">
        <v>20</v>
      </c>
      <c r="F28" s="20" t="s">
        <v>2</v>
      </c>
      <c r="I28" s="29"/>
      <c r="J28" s="32"/>
    </row>
    <row r="29" spans="2:10" s="21" customFormat="1" ht="29.5" x14ac:dyDescent="0.55000000000000004">
      <c r="C29" s="22"/>
      <c r="D29" s="25">
        <f>(SUM(C17:C28)*1.41)+SUM(I30:I35)/2</f>
        <v>834.67</v>
      </c>
      <c r="F29" s="23">
        <f>SUM(D29,H29)</f>
        <v>1534.47</v>
      </c>
      <c r="G29" s="24"/>
      <c r="H29" s="25">
        <f>(SUM(I17:I28)*1.42)+SUM(I30:I37)/2</f>
        <v>699.8</v>
      </c>
      <c r="I29" s="22"/>
    </row>
    <row r="30" spans="2:10" ht="16.5" customHeight="1" x14ac:dyDescent="0.35">
      <c r="F30" s="10"/>
      <c r="G30" s="12"/>
      <c r="H30" s="30" t="inlineStr">
        <is>
          <t xml:space="preserve">Fahrzeuggewicht HA (leer)</t>
        </is>
      </c>
      <c r="I30" s="31">
        <v>860</v>
      </c>
    </row>
    <row r="31" spans="2:10" ht="16.5" customHeight="1" x14ac:dyDescent="0.35">
      <c r="F31" s="10"/>
      <c r="G31" s="12"/>
      <c r="H31" s="30"/>
      <c r="I31" s="31"/>
    </row>
    <row r="32" spans="2:10" ht="16.5" customHeight="1" x14ac:dyDescent="0.35">
      <c r="F32" s="10"/>
      <c r="G32" s="12"/>
      <c r="H32" s="30"/>
      <c r="I32" s="31"/>
    </row>
    <row r="33" spans="6:9" ht="16.5" customHeight="1" x14ac:dyDescent="0.35">
      <c r="F33" s="10"/>
      <c r="G33" s="12"/>
      <c r="H33" s="30"/>
      <c r="I33" s="31"/>
    </row>
    <row r="34" spans="6:9" ht="16.5" customHeight="1" x14ac:dyDescent="0.35">
      <c r="F34" s="10"/>
      <c r="G34" s="12"/>
      <c r="H34" s="30"/>
      <c r="I34" s="31"/>
    </row>
    <row r="35" spans="6:9" ht="16.5" customHeight="1" x14ac:dyDescent="0.35">
      <c r="F35" s="10"/>
      <c r="G35" s="12"/>
      <c r="H35" s="30"/>
      <c r="I35" s="31"/>
    </row>
    <row r="36" spans="6:9" x14ac:dyDescent="0.35">
      <c r="F36" s="10"/>
      <c r="G36" s="12"/>
      <c r="H36" s="28"/>
      <c r="I36" s="29"/>
    </row>
    <row r="37" spans="6:9" x14ac:dyDescent="0.35">
      <c r="F37" s="11"/>
      <c r="G37" s="12"/>
      <c r="H37" s="28"/>
      <c r="I37" s="29"/>
    </row>
    <row r="38" spans="6:9" x14ac:dyDescent="0.35">
      <c r="G38" s="12"/>
    </row>
    <row r="40" spans="2:12" x14ac:dyDescent="0.35">
      <c r="B40" s="32" t="inlineStr">
        <is>
          <t xml:space="preserve">Kontrollrechnung nach Hebelarmen — Ergänzung, die Formeln der Vorlage bleiben unverändert</t>
        </is>
      </c>
    </row>
    <row r="41" spans="2:12" x14ac:dyDescent="0.35">
      <c r="B41" s="18" t="inlineStr">
        <is>
          <t xml:space="preserve">Radstand W907</t>
        </is>
      </c>
      <c r="C41" s="18">
        <v>3665</v>
      </c>
      <c r="D41" s="18" t="inlineStr">
        <is>
          <t xml:space="preserve">mm, Datenblatt</t>
        </is>
      </c>
    </row>
    <row r="42" spans="2:12" x14ac:dyDescent="0.35">
      <c r="B42" s="18" t="inlineStr">
        <is>
          <t xml:space="preserve">Hinterachse bei Y ab Innenkante Hecktür</t>
        </is>
      </c>
      <c r="C42" s="18">
        <v>1050</v>
      </c>
      <c r="D42" s="18" t="inlineStr">
        <is>
          <t xml:space="preserve">mm, Annahme — am Fahrzeug einmessen</t>
        </is>
      </c>
    </row>
    <row r="43" spans="2:12" x14ac:dyDescent="0.35">
      <c r="B43" s="18" t="inlineStr">
        <is>
          <t xml:space="preserve">Anteil Vorderachse — Bereich vorn, links</t>
        </is>
      </c>
      <c r="C43" s="18">
        <v>0.67</v>
      </c>
      <c r="D43" s="18" t="inlineStr">
        <is>
          <t xml:space="preserve">lastgewichtet aus Zeile 8–15</t>
        </is>
      </c>
    </row>
    <row r="44" spans="2:12" x14ac:dyDescent="0.35">
      <c r="B44" s="18" t="inlineStr">
        <is>
          <t xml:space="preserve">Anteil Vorderachse — Bereich vorn, rechts</t>
        </is>
      </c>
      <c r="C44" s="18">
        <v>0.598</v>
      </c>
      <c r="D44" s="18" t="inlineStr">
        <is>
          <t xml:space="preserve">lastgewichtet aus Zeile 8–15</t>
        </is>
      </c>
    </row>
    <row r="45" spans="2:12" x14ac:dyDescent="0.35">
      <c r="B45" s="18" t="inlineStr">
        <is>
          <t xml:space="preserve">Anteil Vorderachse — Bereich hinten, links</t>
        </is>
      </c>
      <c r="C45" s="18">
        <v>0.099</v>
      </c>
      <c r="D45" s="18" t="inlineStr">
        <is>
          <t xml:space="preserve">lastgewichtet aus Zeile 17–28</t>
        </is>
      </c>
    </row>
    <row r="46" spans="2:12" x14ac:dyDescent="0.35">
      <c r="B46" s="18" t="inlineStr">
        <is>
          <t xml:space="preserve">Anteil Vorderachse — Bereich hinten, rechts</t>
        </is>
      </c>
      <c r="C46" s="18">
        <v>0.069</v>
      </c>
      <c r="D46" s="18" t="inlineStr">
        <is>
          <t xml:space="preserve">lastgewichtet aus Zeile 17–28</t>
        </is>
      </c>
    </row>
    <row r="48" spans="2:12" x14ac:dyDescent="0.35">
      <c r="B48" s="18" t="inlineStr">
        <is>
          <t xml:space="preserve">Gesamtmasse (Summe aller Positionen, ohne Faktoren)</t>
        </is>
      </c>
      <c r="C48" s="17">
        <f>SUM(C8:C15)+SUM(C17:C28)+SUM(I8:I15)+SUM(I17:I28)+SUM(I1:I6)+SUM(I30:I37)</f>
        <v>3000</v>
      </c>
    </row>
    <row r="49" spans="2:12" x14ac:dyDescent="0.35">
      <c r="B49" s="18" t="inlineStr">
        <is>
          <t xml:space="preserve">Vorderachse nach Hebelarmen</t>
        </is>
      </c>
      <c r="C49" s="17">
        <f>SUM(C8:C15)*C43+SUM(I8:I15)*C44+SUM(C17:C28)*C45+SUM(I17:I28)*C46+SUM(I1:I6)</f>
        <v>1572.04</v>
      </c>
    </row>
    <row r="50" spans="2:12" x14ac:dyDescent="0.35">
      <c r="B50" s="18" t="inlineStr">
        <is>
          <t xml:space="preserve">Hinterachse nach Hebelarmen</t>
        </is>
      </c>
      <c r="C50" s="17">
        <f>C48-C49</f>
        <v>1427.96</v>
      </c>
    </row>
    <row r="52" spans="2:12" x14ac:dyDescent="0.35">
      <c r="B52" s="18" t="inlineStr">
        <is>
          <t xml:space="preserve">zulässige Vorderachslast</t>
        </is>
      </c>
      <c r="C52" s="17">
        <v>1850</v>
      </c>
      <c r="D52" s="18" t="inlineStr">
        <is>
          <t xml:space="preserve">aus dem Fahrzeugschein übernehmen</t>
        </is>
      </c>
    </row>
    <row r="53" spans="2:12" x14ac:dyDescent="0.35">
      <c r="B53" s="18" t="inlineStr">
        <is>
          <t xml:space="preserve">zulässige Hinterachslast</t>
        </is>
      </c>
      <c r="C53" s="17">
        <v>2000</v>
      </c>
    </row>
    <row r="54" spans="2:12" x14ac:dyDescent="0.35">
      <c r="B54" s="18" t="inlineStr">
        <is>
          <t xml:space="preserve">zulässiges Gesamtgewicht</t>
        </is>
      </c>
      <c r="C54" s="17">
        <v>3500</v>
      </c>
    </row>
    <row r="55" spans="2:12" x14ac:dyDescent="0.35">
      <c r="B55" s="18" t="inlineStr">
        <is>
          <t xml:space="preserve">Reserve Vorderachse</t>
        </is>
      </c>
      <c r="C55" s="17">
        <f>C52-C49</f>
        <v>277.96</v>
      </c>
    </row>
    <row r="56" spans="2:12" x14ac:dyDescent="0.35">
      <c r="B56" s="18" t="inlineStr">
        <is>
          <t xml:space="preserve">Reserve Hinterachse</t>
        </is>
      </c>
      <c r="C56" s="17">
        <f>C53-C50</f>
        <v>572.04</v>
      </c>
    </row>
    <row r="57" spans="2:12" x14ac:dyDescent="0.35">
      <c r="B57" s="18" t="inlineStr">
        <is>
          <t xml:space="preserve">Restzuladung bis zum zulässigen Gesamtgewicht</t>
        </is>
      </c>
      <c r="C57" s="17">
        <f>C54-C48</f>
        <v>500</v>
      </c>
    </row>
    <row r="59" spans="2:12" x14ac:dyDescent="0.35">
      <c r="B59" s="32" t="inlineStr">
        <is>
          <t xml:space="preserve">Annahmen, Quellen und Lesehinweise</t>
        </is>
      </c>
    </row>
    <row r="60" spans="2:12" x14ac:dyDescent="0.35">
      <c r="B60" s="18" t="inlineStr">
        <is>
          <t xml:space="preserve">• Alle Ausbaugewichte sind Schätzwerte aus der Ausbauplanung SPR-BAU-01, Kapitel 14 (Gewichts- und Achslastbilanz).</t>
        </is>
      </c>
    </row>
    <row r="61" spans="2:12" x14ac:dyDescent="0.35">
      <c r="B61" s="18" t="inlineStr">
        <is>
          <t xml:space="preserve">• Leergewicht angenommen mit 2 150 kg fahrfertig: 1 290 kg Vorderachse (Zeile 4) und 860 kg Hinterachse (Zeile 30). Kraftstoff, Ersatzrad und Bordwerkzeug sind darin enthalten.</t>
        </is>
      </c>
    </row>
    <row r="62" spans="2:12" x14ac:dyDescent="0.35">
      <c r="B62" s="18" t="inlineStr">
        <is>
          <t xml:space="preserve">• Bereich vorn (Zeile 8–15) = Sitzgruppe, Küche, Einstieg. Bereich hinten (Zeile 17–28) = Bett, Garage, Technikblock, Kühlschrankschrank.</t>
        </is>
      </c>
    </row>
    <row r="63" spans="2:12" x14ac:dyDescent="0.35">
      <c r="B63" s="18" t="inlineStr">
        <is>
          <t xml:space="preserve">• Links = Fahrerseite, rechts = Beifahrerseite. Positionen über die volle Breite sind hälftig auf beide Seiten verteilt.</t>
        </is>
      </c>
    </row>
    <row r="64" spans="2:12" x14ac:dyDescent="0.35">
      <c r="B64" s="18" t="inlineStr">
        <is>
          <t xml:space="preserve">• Der Technikblock steht über dem Radkasten der Fahrerseite (Schwerpunkt Y ca. 950), nicht im Heck — das nimmt rund 55 kg von der Hinterachse.</t>
        </is>
      </c>
    </row>
    <row r="65" spans="2:12" x14ac:dyDescent="0.35">
      <c r="B65" s="18" t="inlineStr">
        <is>
          <t xml:space="preserve">• Gebaut wird zunächst mit EINER 300-Ah-Batterie. Die zweite (+29 kg, Hinterachse) wird erst nach einer realen Achslastmessung nachgerüstet.</t>
        </is>
      </c>
    </row>
    <row r="66" spans="2:12" x14ac:dyDescent="0.35">
      <c r="B66" s="18" t="inlineStr">
        <is>
          <t xml:space="preserve">• Nicht enthalten, weil nur bei Bedarf an Bord: Klimaanlage Mestic Sorin SPA-5100 (21 kg).</t>
        </is>
      </c>
    </row>
    <row r="67" spans="2:12" x14ac:dyDescent="0.35">
      <c r="B67" s="18" t="inlineStr">
        <is>
          <t xml:space="preserve">• Die Vorlage rechnet den Bereich vorn mit Faktor 0,6 und den Bereich hinten mit 1,41 bzw. 1,42. Für dieses Fahrzeug ist der hintere Faktor zu hoch, weil nichts weit hinter der Hinterachse sitzt.</t>
        </is>
      </c>
    </row>
    <row r="68" spans="2:12" x14ac:dyDescent="0.35">
      <c r="B68" s="18" t="inlineStr">
        <is>
          <t xml:space="preserve">• Deshalb die Kontrollrechnung: Vorlage 1 519 kg VA / 1 534 kg HA / 3 053 kg gesamt — Hebelarmrechnung 1 572 kg VA / 1 428 kg HA / 3 000 kg gesamt. Belastbarer sind die Werte der Hebelarmrechnung.</t>
        </is>
      </c>
    </row>
    <row r="69" spans="2:12" x14ac:dyDescent="0.35">
      <c r="B69" s="18" t="inlineStr">
        <is>
          <t xml:space="preserve">• Alle Werte sind Planungswerte. Vor der Bestellung der zweiten Batterie achsweise auf einer öffentlichen Waage wiegen und diese Tabelle mit den realen Zahlen überschreiben.</t>
        </is>
      </c>
    </row>
  </sheetData>
  <pageMargins left="0.25" right="0.25" top="0.75" bottom="0.75" header="0.3" footer="0.3"/>
  <pageSetup paperSize="8" orientation="landscape" horizontalDpi="200" verticalDpi="200" r:id="rId1"/>
  <drawing r:id="rId2"/>
  <picture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Matthias Roth</dc:creator>
  <cp:lastModifiedBy>Matthias Roth</cp:lastModifiedBy>
  <dcterms:created xsi:type="dcterms:W3CDTF">2026-02-08T14:08:54Z</dcterms:created>
  <dcterms:modified xsi:type="dcterms:W3CDTF">2026-02-12T16:22:58Z</dcterms:modified>
</cp:coreProperties>
</file>